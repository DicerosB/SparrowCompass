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Manuel\Documents\KiCAD\SparrowCompass\"/>
    </mc:Choice>
  </mc:AlternateContent>
  <xr:revisionPtr revIDLastSave="0" documentId="13_ncr:1_{990DD113-53ED-4D97-BA70-F9384F2BFB23}" xr6:coauthVersionLast="47" xr6:coauthVersionMax="47" xr10:uidLastSave="{00000000-0000-0000-0000-000000000000}"/>
  <bookViews>
    <workbookView xWindow="2631" yWindow="2803" windowWidth="26306" windowHeight="13303" xr2:uid="{B557CC89-B270-4C8C-B08F-D577270AC332}"/>
  </bookViews>
  <sheets>
    <sheet name="SparrowCompass" sheetId="2" r:id="rId1"/>
    <sheet name="Tabelle1" sheetId="1" r:id="rId2"/>
  </sheets>
  <definedNames>
    <definedName name="ExterneDaten_1" localSheetId="0" hidden="1">SparrowCompass!$A$1:$F$29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" i="2"/>
  <c r="I3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C91C1B-BD30-489E-AA97-D5C8523441F7}" keepAlive="1" name="Abfrage - SparrowCompass" description="Verbindung mit der Abfrage 'SparrowCompass' in der Arbeitsmappe." type="5" refreshedVersion="7" background="1" saveData="1">
    <dbPr connection="Provider=Microsoft.Mashup.OleDb.1;Data Source=$Workbook$;Location=SparrowCompass;Extended Properties=&quot;&quot;" command="SELECT * FROM [SparrowCompass]"/>
  </connection>
</connections>
</file>

<file path=xl/sharedStrings.xml><?xml version="1.0" encoding="utf-8"?>
<sst xmlns="http://schemas.openxmlformats.org/spreadsheetml/2006/main" count="172" uniqueCount="120">
  <si>
    <t>Reference</t>
  </si>
  <si>
    <t>Qty</t>
  </si>
  <si>
    <t>Value</t>
  </si>
  <si>
    <t>DNP</t>
  </si>
  <si>
    <t>Footprint</t>
  </si>
  <si>
    <t>Datasheet</t>
  </si>
  <si>
    <t>C1;C2;C3;C6;C8;C11;C16;C19;C21;C23;C25;C31</t>
  </si>
  <si>
    <t>2u2</t>
  </si>
  <si>
    <t/>
  </si>
  <si>
    <t>Capacitor_SMD:C_0603_1608Metric</t>
  </si>
  <si>
    <t>~</t>
  </si>
  <si>
    <t>C4;C5;C9;C12;C17;C18;C20;C22;C24;C28</t>
  </si>
  <si>
    <t>100n</t>
  </si>
  <si>
    <t>C7;C10</t>
  </si>
  <si>
    <t>10u</t>
  </si>
  <si>
    <t>Capacitor_SMD:CP_Elec_4x5.3</t>
  </si>
  <si>
    <t>C13;C14;C15;C29;C30</t>
  </si>
  <si>
    <t>220n</t>
  </si>
  <si>
    <t>C26;C27</t>
  </si>
  <si>
    <t>6p</t>
  </si>
  <si>
    <t>D1;D2;D3;D4;D5;D6;D7</t>
  </si>
  <si>
    <t>LED</t>
  </si>
  <si>
    <t>LED_SMD:LED_0603_1608Metric</t>
  </si>
  <si>
    <t>IC1</t>
  </si>
  <si>
    <t>NEO-M8N-0</t>
  </si>
  <si>
    <t>NEO-M8N-0:NEO-M8T</t>
  </si>
  <si>
    <t>https://www.u-blox.com/sites/default/files/NEO-M8-FW3_DataSheet_%28UBX-15031086%29.pdf</t>
  </si>
  <si>
    <t>IC2</t>
  </si>
  <si>
    <t>LSM303AGRTR</t>
  </si>
  <si>
    <t>LSM303AGRTR:LGA-12</t>
  </si>
  <si>
    <t>http://www.st.com/content/ccc/resource/technical/document/datasheet/74/c4/19/54/62/c5/46/13/DM00177685.pdf/files/DM00177685.pdf/jcr:content/translations/en.DM00177685.pdf</t>
  </si>
  <si>
    <t>IC3</t>
  </si>
  <si>
    <t>DRV8834RGER</t>
  </si>
  <si>
    <t>DRV8834RGER:QFN50P400X400X100-25N-D</t>
  </si>
  <si>
    <t>http://www.ti.com/lit/gpn/drv8834</t>
  </si>
  <si>
    <t>IC4</t>
  </si>
  <si>
    <t>AEDR-8300-1Q2</t>
  </si>
  <si>
    <t>AEDR-8300-1Q2:AEDR83001Q2</t>
  </si>
  <si>
    <t>https://www.digikey.ph/en/products/detail/broadcom-limited/AEDR-8300-1Q2/4573056?msockid=39f1ec84d77b6f4428b7f904d6676eed</t>
  </si>
  <si>
    <t>IC6</t>
  </si>
  <si>
    <t>MCP73833T-AMI_MF</t>
  </si>
  <si>
    <t>MCP73833T-AMI_MF:SON50P300X300X100-11N-D</t>
  </si>
  <si>
    <t>https://datasheet.datasheetarchive.com/originals/distributors/SFDatasheet-4/sf-00090109.pdf</t>
  </si>
  <si>
    <t>J2</t>
  </si>
  <si>
    <t>Conn_Coaxial_Small</t>
  </si>
  <si>
    <t>Connector_Coaxial:U.FL_Hirose_U.FL-R-SMT-1_Vertical</t>
  </si>
  <si>
    <t>J3</t>
  </si>
  <si>
    <t>USB4105-GF-A-060</t>
  </si>
  <si>
    <t>USB4105_GF_A_060:GCT_USB4105-GF-A-060</t>
  </si>
  <si>
    <t>L1</t>
  </si>
  <si>
    <t>220R</t>
  </si>
  <si>
    <t>Inductor_SMD:L_1210_3225Metric</t>
  </si>
  <si>
    <t>PS1;PS2</t>
  </si>
  <si>
    <t>ZLDO1117QG33TA</t>
  </si>
  <si>
    <t>ZLDO1117QG33TA:SOT230P700X180-4N</t>
  </si>
  <si>
    <t>https://www.diodes.com//assets/Datasheets/products_inactive_data/ZLDO1117.pdf</t>
  </si>
  <si>
    <t>R1;R2</t>
  </si>
  <si>
    <t>5k1</t>
  </si>
  <si>
    <t>Resistor_SMD:R_0603_1608Metric</t>
  </si>
  <si>
    <t>R3;R4;R5;R14;R17;R21;R22;R23</t>
  </si>
  <si>
    <t>470R</t>
  </si>
  <si>
    <t>R6</t>
  </si>
  <si>
    <t>1k</t>
  </si>
  <si>
    <t>R7</t>
  </si>
  <si>
    <t>80R</t>
  </si>
  <si>
    <t>R8;R9</t>
  </si>
  <si>
    <t>200R</t>
  </si>
  <si>
    <t>R10</t>
  </si>
  <si>
    <t>330R</t>
  </si>
  <si>
    <t>R11;R12;R13;R15;R16;R18;R19;R24</t>
  </si>
  <si>
    <t>10k</t>
  </si>
  <si>
    <t>R20</t>
  </si>
  <si>
    <t>20k</t>
  </si>
  <si>
    <t>U1</t>
  </si>
  <si>
    <t>L3GD20</t>
  </si>
  <si>
    <t>Package_LGA:LGA-16_4x4mm_P0.65mm_LayoutBorder4x4y</t>
  </si>
  <si>
    <t>http://www.st.com/st-web-ui/static/active/en/resource/technical/document/datasheet/DM00036465.pdf</t>
  </si>
  <si>
    <t>U2</t>
  </si>
  <si>
    <t>TPD2EUSB30</t>
  </si>
  <si>
    <t>Package_TO_SOT_SMD:Texas_DRT-3</t>
  </si>
  <si>
    <t>http://www.ti.com/lit/ds/symlink/tpd2eusb30a.pdf</t>
  </si>
  <si>
    <t>U3</t>
  </si>
  <si>
    <t>STM32F302CCTx</t>
  </si>
  <si>
    <t>Package_QFP:LQFP-48_7x7mm_P0.5mm</t>
  </si>
  <si>
    <t>https://www.st.com/resource/en/datasheet/stm32f302cc.pdf</t>
  </si>
  <si>
    <t>Y1</t>
  </si>
  <si>
    <t>XRCGB25M000F3M00R0</t>
  </si>
  <si>
    <t>XRCGB25M000F3M00R0:XRCGB</t>
  </si>
  <si>
    <t>https://www.murata.com/products/productdata/8801059864606/SPEC-XRCGB25M000F3M00R0.pdf</t>
  </si>
  <si>
    <t>Cost</t>
  </si>
  <si>
    <t>Link</t>
  </si>
  <si>
    <t>https://www.mouser.de/ProductDetail/Murata-Electronics/GRM188C81C225MA12D?qs=eeBpzGFlv%252B9z7OCibq%252B%252BhA%3D%3D</t>
  </si>
  <si>
    <t>https://www.mouser.de/ProductDetail/KEMET/C0603C104Z4VACTU?qs=t9q%2F2xDdjt80hHjNGtEgzg%3D%3D</t>
  </si>
  <si>
    <t>https://www.mouser.de/ProductDetail/Murata-Electronics/GRM188R71E224JA88J?qs=QzBtWTOodeUQv4s17XcJEQ%3D%3D</t>
  </si>
  <si>
    <t>https://www.mouser.de/ProductDetail/Murata-Electronics/GCM1885C2A6R0CA16D?qs=QzBtWTOodeW2ALKkh2LyBA%3D%3D</t>
  </si>
  <si>
    <t>https://www.mouser.de/ProductDetail/Knowles-Illinois-Capacitor/AVEZ106M16B12T-F?qs=3d0ZNoyXExyuKyeM2Q1eAQ%3D%3D</t>
  </si>
  <si>
    <t>https://www.mouser.de/ProductDetail/Wurth-Elektronik/150060BS75000?qs=LlUlMxKIyB2DLLpXQThavA%3D%3D</t>
  </si>
  <si>
    <t>https://www.mouser.de/ProductDetail/u-blox/NEO-M8N-0?qs=zW32dvEIR3unZhZI0KRbew%3D%3D</t>
  </si>
  <si>
    <t>https://www.mouser.de/ProductDetail/STMicroelectronics/LSM303AGRTR?qs=dTJS0cRn7oj2TlQhcroMCw%3D%3D</t>
  </si>
  <si>
    <t>https://www.mouser.de/ProductDetail/Texas-Instruments/DRV8834RGER?qs=UFc95S4Z4CbZvVPj6YuR6w%3D%3D</t>
  </si>
  <si>
    <t>https://www.mouser.de/ProductDetail/Broadcom-Avago/AEDR-8300-1Q2?qs=RuhU64sK2%252Bt%252BHTtC7LwVEw%3D%3D</t>
  </si>
  <si>
    <t>https://www.mouser.de/ProductDetail/Microchip-Technology/MCP73833T-AMI-MF?qs=Fxu3fLyJv8epbqy6GsGQQA%3D%3D</t>
  </si>
  <si>
    <t>https://www.mouser.de/ProductDetail/Hirose-Connector/U.FL-R-SMT-110?qs=kL1ClTr6oBoOdtqlGQpQrQ%3D%3D</t>
  </si>
  <si>
    <t>https://www.mouser.de/ProductDetail/Wurth-Elektronik/7687709221?qs=sq%252BaO8iX7yo5Y4jfKYVibg%3D%3D</t>
  </si>
  <si>
    <t>https://www.mouser.de/ProductDetail/GCT/USB4105-GF-A-060?qs=QNEnbhJQKvY2mocwNJzgfA%3D%3D</t>
  </si>
  <si>
    <t>https://www.mouser.de/ProductDetail/Diodes-Incorporated/ZLDO1117QG33TA?qs=AsTZqt%2FmeqkYux4yhEuliw%3D%3D</t>
  </si>
  <si>
    <t>https://www.mouser.de/ProductDetail/STMicroelectronics/A3G4250DTR?qs=Ld7sMN6XJzCU8%252BkHd1RE7g%3D%3D</t>
  </si>
  <si>
    <t>https://www.mouser.de/ProductDetail/Texas-Instruments/TPD2EUSB30DRTR?qs=%2Fqzd9s%252BcLd6bPJi5HXCDvw%3D%3D</t>
  </si>
  <si>
    <t>https://www.mouser.de/ProductDetail/STMicroelectronics/STM32F302CCT7?qs=NoqMqJKvPFJLAf54HThcFA%3D%3D</t>
  </si>
  <si>
    <t>https://www.mouser.de/ProductDetail/Murata-Electronics/XRCGB25M000F3M00R0?qs=e%252BE4OD6MgMc2G4K6%252BQznBA%3D%3D</t>
  </si>
  <si>
    <t>https://www.mouser.de/ProductDetail/Vishay/CRCW06035K11FKEA?qs=2Ta4L6IlF3huCvbRI1eJUw%3D%3D</t>
  </si>
  <si>
    <t>total</t>
  </si>
  <si>
    <t>Summe:</t>
  </si>
  <si>
    <t xml:space="preserve"> + PCB</t>
  </si>
  <si>
    <t>Nema-Flat Stepper Motor</t>
  </si>
  <si>
    <t>https://www.reichelt.de/de/de/shop/produkt/schrittmotor_nema_flat02_1_8_0_5_a_1_75_v-335315?PROVID=2788&amp;gad_source=1&amp;gad_campaignid=183379230&amp;gclid=CjwKCAjwisnGBhAXEiwA0zEOR8pYYb0BIx3a8eD9AKQ_bmxFFptyvcIR0Hb146C38u14zJEY5a7lFxoCc3YQAvD_BwE</t>
  </si>
  <si>
    <t>https://www.mouser.de/ProductDetail/KYOCERA-AVX/9000440F0-AA12L0150?qs=jRuttqqUwMS53dQeffbIFQ%3D%3D</t>
  </si>
  <si>
    <t>GPS Antenna</t>
  </si>
  <si>
    <t>RFID Module</t>
  </si>
  <si>
    <t>https://funduinoshop.com/elektronische-module/wireless-iot/rfid-nfc/pn532-nfc-rfid-v3-modul-fuer-arduino-und-co.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</si>
</sst>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1" fillId="0" borderId="0" xfId="1" applyNumberFormat="1"/>
    <xf numFmtId="0" fontId="1" fillId="0" borderId="0" xfId="1"/>
  </cellXfs>
  <cellStyles count="2">
    <cellStyle name="Link" xfId="1" builtinId="8"/>
    <cellStyle name="Standard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8EEB76FC-FD0D-478A-9F70-75397C1DC3F0}" autoFormatId="16" applyNumberFormats="0" applyBorderFormats="0" applyFontFormats="0" applyPatternFormats="0" applyAlignmentFormats="0" applyWidthHeightFormats="0">
  <queryTableRefresh nextId="12" unboundColumnsRight="3">
    <queryTableFields count="9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7" name="Footprint" tableColumnId="7"/>
      <queryTableField id="8" name="Datasheet" tableColumnId="8"/>
      <queryTableField id="9" dataBound="0" tableColumnId="9"/>
      <queryTableField id="10" dataBound="0" tableColumnId="10"/>
      <queryTableField id="11" dataBound="0" tableColumnId="11"/>
    </queryTableFields>
    <queryTableDeletedFields count="2">
      <deletedField name="Exclude from BOM"/>
      <deletedField name="Exclude from Boar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251FB-9FF8-4660-A1F0-9197C9230056}" name="SparrowCompass" displayName="SparrowCompass" ref="A1:I29" tableType="queryTable" totalsRowShown="0">
  <autoFilter ref="A1:I29" xr:uid="{34E251FB-9FF8-4660-A1F0-9197C9230056}"/>
  <tableColumns count="9">
    <tableColumn id="1" xr3:uid="{4707C052-11EF-46E5-92D4-CA568B7EBBA9}" uniqueName="1" name="Reference" queryTableFieldId="1" dataDxfId="7"/>
    <tableColumn id="2" xr3:uid="{5E2B970A-506D-4179-8FAD-58BB75969BE6}" uniqueName="2" name="Qty" queryTableFieldId="2"/>
    <tableColumn id="3" xr3:uid="{EDF0E37D-D4A9-4D22-B4F6-A98050E25120}" uniqueName="3" name="Value" queryTableFieldId="3" dataDxfId="6"/>
    <tableColumn id="4" xr3:uid="{2563DE2B-19A3-4906-BF77-115CCF810B72}" uniqueName="4" name="DNP" queryTableFieldId="4" dataDxfId="5"/>
    <tableColumn id="7" xr3:uid="{C1EF5E29-D41A-4462-9897-1F823F9BC5A3}" uniqueName="7" name="Footprint" queryTableFieldId="7" dataDxfId="4"/>
    <tableColumn id="8" xr3:uid="{5B5C1841-A8F3-4983-A53E-D351BCA55D44}" uniqueName="8" name="Datasheet" queryTableFieldId="8" dataDxfId="3"/>
    <tableColumn id="9" xr3:uid="{F12A6695-449B-43C4-89A2-12AF50348E19}" uniqueName="9" name="Cost" queryTableFieldId="9" dataDxfId="2"/>
    <tableColumn id="10" xr3:uid="{44122F0B-CBCA-4335-A8AA-6D08332CBDBD}" uniqueName="10" name="Link" queryTableFieldId="10" dataDxfId="1"/>
    <tableColumn id="11" xr3:uid="{BA357333-1DC6-46D0-8730-C7190AC35683}" uniqueName="11" name="total" queryTableFieldId="11" dataDxfId="0">
      <calculatedColumnFormula>SparrowCompass[[#This Row],[Qty]]*SparrowCompass[[#This Row],[Cost]]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de/ProductDetail/GCT/USB4105-GF-A-060?qs=QNEnbhJQKvY2mocwNJzgfA%3D%3D" TargetMode="External"/><Relationship Id="rId13" Type="http://schemas.openxmlformats.org/officeDocument/2006/relationships/hyperlink" Target="https://www.mouser.de/ProductDetail/Murata-Electronics/XRCGB25M000F3M00R0?qs=e%252BE4OD6MgMc2G4K6%252BQznBA%3D%3D" TargetMode="External"/><Relationship Id="rId18" Type="http://schemas.openxmlformats.org/officeDocument/2006/relationships/hyperlink" Target="https://www.mouser.de/ProductDetail/Murata-Electronics/GRM188R71E224JA88J?qs=QzBtWTOodeUQv4s17XcJEQ%3D%3D" TargetMode="External"/><Relationship Id="rId3" Type="http://schemas.openxmlformats.org/officeDocument/2006/relationships/hyperlink" Target="https://www.mouser.de/ProductDetail/Texas-Instruments/DRV8834RGER?qs=UFc95S4Z4CbZvVPj6YuR6w%3D%3D" TargetMode="External"/><Relationship Id="rId21" Type="http://schemas.openxmlformats.org/officeDocument/2006/relationships/hyperlink" Target="https://www.mouser.de/ProductDetail/Murata-Electronics/GRM188C81C225MA12D?qs=eeBpzGFlv%252B9z7OCibq%252B%252BhA%3D%3D" TargetMode="External"/><Relationship Id="rId7" Type="http://schemas.openxmlformats.org/officeDocument/2006/relationships/hyperlink" Target="https://www.mouser.de/ProductDetail/Wurth-Elektronik/7687709221?qs=sq%252BaO8iX7yo5Y4jfKYVibg%3D%3D" TargetMode="External"/><Relationship Id="rId12" Type="http://schemas.openxmlformats.org/officeDocument/2006/relationships/hyperlink" Target="https://www.mouser.de/ProductDetail/STMicroelectronics/STM32F302CCT7?qs=NoqMqJKvPFJLAf54HThcFA%3D%3D" TargetMode="External"/><Relationship Id="rId17" Type="http://schemas.openxmlformats.org/officeDocument/2006/relationships/hyperlink" Target="https://www.mouser.de/ProductDetail/Murata-Electronics/GCM1885C2A6R0CA16D?qs=QzBtWTOodeW2ALKkh2LyBA%3D%3D" TargetMode="External"/><Relationship Id="rId2" Type="http://schemas.openxmlformats.org/officeDocument/2006/relationships/hyperlink" Target="https://www.mouser.de/ProductDetail/STMicroelectronics/LSM303AGRTR?qs=dTJS0cRn7oj2TlQhcroMCw%3D%3D" TargetMode="External"/><Relationship Id="rId16" Type="http://schemas.openxmlformats.org/officeDocument/2006/relationships/hyperlink" Target="https://www.mouser.de/ProductDetail/Wurth-Elektronik/150060BS75000?qs=LlUlMxKIyB2DLLpXQThavA%3D%3D" TargetMode="External"/><Relationship Id="rId20" Type="http://schemas.openxmlformats.org/officeDocument/2006/relationships/hyperlink" Target="https://www.mouser.de/ProductDetail/KEMET/C0603C104Z4VACTU?qs=t9q%2F2xDdjt80hHjNGtEgzg%3D%3D" TargetMode="External"/><Relationship Id="rId1" Type="http://schemas.openxmlformats.org/officeDocument/2006/relationships/hyperlink" Target="https://www.mouser.de/ProductDetail/u-blox/NEO-M8N-0?qs=zW32dvEIR3unZhZI0KRbew%3D%3D" TargetMode="External"/><Relationship Id="rId6" Type="http://schemas.openxmlformats.org/officeDocument/2006/relationships/hyperlink" Target="https://www.mouser.de/ProductDetail/Hirose-Connector/U.FL-R-SMT-110?qs=kL1ClTr6oBoOdtqlGQpQrQ%3D%3D" TargetMode="External"/><Relationship Id="rId11" Type="http://schemas.openxmlformats.org/officeDocument/2006/relationships/hyperlink" Target="https://www.mouser.de/ProductDetail/Texas-Instruments/TPD2EUSB30DRTR?qs=%2Fqzd9s%252BcLd6bPJi5HXCDvw%3D%3D" TargetMode="External"/><Relationship Id="rId5" Type="http://schemas.openxmlformats.org/officeDocument/2006/relationships/hyperlink" Target="https://www.mouser.de/ProductDetail/Microchip-Technology/MCP73833T-AMI-MF?qs=Fxu3fLyJv8epbqy6GsGQQA%3D%3D" TargetMode="External"/><Relationship Id="rId15" Type="http://schemas.openxmlformats.org/officeDocument/2006/relationships/hyperlink" Target="https://www.mouser.de/ProductDetail/KYOCERA-AVX/9000440F0-AA12L0150?qs=jRuttqqUwMS53dQeffbIFQ%3D%3D" TargetMode="External"/><Relationship Id="rId10" Type="http://schemas.openxmlformats.org/officeDocument/2006/relationships/hyperlink" Target="https://www.mouser.de/ProductDetail/STMicroelectronics/A3G4250DTR?qs=Ld7sMN6XJzCU8%252BkHd1RE7g%3D%3D" TargetMode="External"/><Relationship Id="rId19" Type="http://schemas.openxmlformats.org/officeDocument/2006/relationships/hyperlink" Target="https://www.mouser.de/ProductDetail/Knowles-Illinois-Capacitor/AVEZ106M16B12T-F?qs=3d0ZNoyXExyuKyeM2Q1eAQ%3D%3D" TargetMode="External"/><Relationship Id="rId4" Type="http://schemas.openxmlformats.org/officeDocument/2006/relationships/hyperlink" Target="https://www.mouser.de/ProductDetail/Broadcom-Avago/AEDR-8300-1Q2?qs=RuhU64sK2%252Bt%252BHTtC7LwVEw%3D%3D" TargetMode="External"/><Relationship Id="rId9" Type="http://schemas.openxmlformats.org/officeDocument/2006/relationships/hyperlink" Target="https://www.mouser.de/ProductDetail/Diodes-Incorporated/ZLDO1117QG33TA?qs=AsTZqt%2FmeqkYux4yhEuliw%3D%3D" TargetMode="External"/><Relationship Id="rId14" Type="http://schemas.openxmlformats.org/officeDocument/2006/relationships/hyperlink" Target="https://www.reichelt.de/de/de/shop/produkt/schrittmotor_nema_flat02_1_8_0_5_a_1_75_v-335315?PROVID=2788&amp;gad_source=1&amp;gad_campaignid=183379230&amp;gclid=CjwKCAjwisnGBhAXEiwA0zEOR8pYYb0BIx3a8eD9AKQ_bmxFFptyvcIR0Hb146C38u14zJEY5a7lFxoCc3YQAvD_BwE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B9D4-FB11-4FA5-9074-18D0C488FCF3}">
  <dimension ref="A1:I34"/>
  <sheetViews>
    <sheetView tabSelected="1" topLeftCell="A7" workbookViewId="0">
      <selection activeCell="G34" sqref="G34"/>
    </sheetView>
  </sheetViews>
  <sheetFormatPr baseColWidth="10" defaultRowHeight="14.6" x14ac:dyDescent="0.4"/>
  <cols>
    <col min="1" max="1" width="9" customWidth="1"/>
    <col min="2" max="2" width="6.07421875" bestFit="1" customWidth="1"/>
    <col min="3" max="3" width="20.84375" bestFit="1" customWidth="1"/>
    <col min="4" max="4" width="6.69140625" bestFit="1" customWidth="1"/>
    <col min="5" max="5" width="32.3828125" customWidth="1"/>
    <col min="6" max="6" width="7.765625" customWidth="1"/>
    <col min="8" max="8" width="27.61328125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89</v>
      </c>
      <c r="H1" t="s">
        <v>90</v>
      </c>
      <c r="I1" t="s">
        <v>111</v>
      </c>
    </row>
    <row r="2" spans="1:9" x14ac:dyDescent="0.4">
      <c r="A2" s="1" t="s">
        <v>6</v>
      </c>
      <c r="B2">
        <v>12</v>
      </c>
      <c r="C2" s="1" t="s">
        <v>7</v>
      </c>
      <c r="D2" s="1" t="s">
        <v>8</v>
      </c>
      <c r="E2" s="1" t="s">
        <v>9</v>
      </c>
      <c r="F2" s="1" t="s">
        <v>10</v>
      </c>
      <c r="G2" s="1">
        <v>0.09</v>
      </c>
      <c r="H2" s="2" t="s">
        <v>91</v>
      </c>
      <c r="I2" s="1">
        <f>SparrowCompass[[#This Row],[Qty]]*SparrowCompass[[#This Row],[Cost]]</f>
        <v>1.08</v>
      </c>
    </row>
    <row r="3" spans="1:9" x14ac:dyDescent="0.4">
      <c r="A3" s="1" t="s">
        <v>11</v>
      </c>
      <c r="B3">
        <v>10</v>
      </c>
      <c r="C3" s="1" t="s">
        <v>12</v>
      </c>
      <c r="D3" s="1" t="s">
        <v>8</v>
      </c>
      <c r="E3" s="1" t="s">
        <v>9</v>
      </c>
      <c r="F3" s="1" t="s">
        <v>10</v>
      </c>
      <c r="G3" s="1">
        <v>0.09</v>
      </c>
      <c r="H3" s="2" t="s">
        <v>92</v>
      </c>
      <c r="I3" s="1">
        <f>SparrowCompass[[#This Row],[Qty]]*SparrowCompass[[#This Row],[Cost]]</f>
        <v>0.89999999999999991</v>
      </c>
    </row>
    <row r="4" spans="1:9" x14ac:dyDescent="0.4">
      <c r="A4" s="1" t="s">
        <v>13</v>
      </c>
      <c r="B4">
        <v>2</v>
      </c>
      <c r="C4" s="1" t="s">
        <v>14</v>
      </c>
      <c r="D4" s="1" t="s">
        <v>8</v>
      </c>
      <c r="E4" s="1" t="s">
        <v>15</v>
      </c>
      <c r="F4" s="1" t="s">
        <v>10</v>
      </c>
      <c r="G4" s="1">
        <v>0.05</v>
      </c>
      <c r="H4" s="2" t="s">
        <v>95</v>
      </c>
      <c r="I4" s="1">
        <f>SparrowCompass[[#This Row],[Qty]]*SparrowCompass[[#This Row],[Cost]]</f>
        <v>0.1</v>
      </c>
    </row>
    <row r="5" spans="1:9" x14ac:dyDescent="0.4">
      <c r="A5" s="1" t="s">
        <v>16</v>
      </c>
      <c r="B5">
        <v>5</v>
      </c>
      <c r="C5" s="1" t="s">
        <v>17</v>
      </c>
      <c r="D5" s="1" t="s">
        <v>8</v>
      </c>
      <c r="E5" s="1" t="s">
        <v>9</v>
      </c>
      <c r="F5" s="1" t="s">
        <v>10</v>
      </c>
      <c r="G5" s="1">
        <v>0.09</v>
      </c>
      <c r="H5" s="2" t="s">
        <v>93</v>
      </c>
      <c r="I5" s="1">
        <f>SparrowCompass[[#This Row],[Qty]]*SparrowCompass[[#This Row],[Cost]]</f>
        <v>0.44999999999999996</v>
      </c>
    </row>
    <row r="6" spans="1:9" x14ac:dyDescent="0.4">
      <c r="A6" s="1" t="s">
        <v>18</v>
      </c>
      <c r="B6">
        <v>2</v>
      </c>
      <c r="C6" s="1" t="s">
        <v>19</v>
      </c>
      <c r="D6" s="1" t="s">
        <v>8</v>
      </c>
      <c r="E6" s="1" t="s">
        <v>9</v>
      </c>
      <c r="F6" s="1" t="s">
        <v>10</v>
      </c>
      <c r="G6" s="1">
        <v>0.09</v>
      </c>
      <c r="H6" s="2" t="s">
        <v>94</v>
      </c>
      <c r="I6" s="1">
        <f>SparrowCompass[[#This Row],[Qty]]*SparrowCompass[[#This Row],[Cost]]</f>
        <v>0.18</v>
      </c>
    </row>
    <row r="7" spans="1:9" x14ac:dyDescent="0.4">
      <c r="A7" s="1" t="s">
        <v>20</v>
      </c>
      <c r="B7">
        <v>7</v>
      </c>
      <c r="C7" s="1" t="s">
        <v>21</v>
      </c>
      <c r="D7" s="1" t="s">
        <v>8</v>
      </c>
      <c r="E7" s="1" t="s">
        <v>22</v>
      </c>
      <c r="F7" s="1" t="s">
        <v>10</v>
      </c>
      <c r="G7" s="1">
        <v>0.15</v>
      </c>
      <c r="H7" s="2" t="s">
        <v>96</v>
      </c>
      <c r="I7" s="1">
        <f>SparrowCompass[[#This Row],[Qty]]*SparrowCompass[[#This Row],[Cost]]</f>
        <v>1.05</v>
      </c>
    </row>
    <row r="8" spans="1:9" x14ac:dyDescent="0.4">
      <c r="A8" s="1" t="s">
        <v>23</v>
      </c>
      <c r="B8">
        <v>1</v>
      </c>
      <c r="C8" s="1" t="s">
        <v>24</v>
      </c>
      <c r="D8" s="1" t="s">
        <v>8</v>
      </c>
      <c r="E8" s="1" t="s">
        <v>25</v>
      </c>
      <c r="F8" s="1" t="s">
        <v>26</v>
      </c>
      <c r="G8" s="1">
        <v>27.09</v>
      </c>
      <c r="H8" s="2" t="s">
        <v>97</v>
      </c>
      <c r="I8" s="1">
        <f>SparrowCompass[[#This Row],[Qty]]*SparrowCompass[[#This Row],[Cost]]</f>
        <v>27.09</v>
      </c>
    </row>
    <row r="9" spans="1:9" x14ac:dyDescent="0.4">
      <c r="A9" s="1" t="s">
        <v>27</v>
      </c>
      <c r="B9">
        <v>1</v>
      </c>
      <c r="C9" s="1" t="s">
        <v>28</v>
      </c>
      <c r="D9" s="1" t="s">
        <v>8</v>
      </c>
      <c r="E9" s="1" t="s">
        <v>29</v>
      </c>
      <c r="F9" s="1" t="s">
        <v>30</v>
      </c>
      <c r="G9" s="1">
        <v>4</v>
      </c>
      <c r="H9" s="2" t="s">
        <v>98</v>
      </c>
      <c r="I9" s="1">
        <f>SparrowCompass[[#This Row],[Qty]]*SparrowCompass[[#This Row],[Cost]]</f>
        <v>4</v>
      </c>
    </row>
    <row r="10" spans="1:9" x14ac:dyDescent="0.4">
      <c r="A10" s="1" t="s">
        <v>31</v>
      </c>
      <c r="B10">
        <v>1</v>
      </c>
      <c r="C10" s="1" t="s">
        <v>32</v>
      </c>
      <c r="D10" s="1" t="s">
        <v>8</v>
      </c>
      <c r="E10" s="1" t="s">
        <v>33</v>
      </c>
      <c r="F10" s="1" t="s">
        <v>34</v>
      </c>
      <c r="G10" s="1">
        <v>2.35</v>
      </c>
      <c r="H10" s="2" t="s">
        <v>99</v>
      </c>
      <c r="I10" s="1">
        <f>SparrowCompass[[#This Row],[Qty]]*SparrowCompass[[#This Row],[Cost]]</f>
        <v>2.35</v>
      </c>
    </row>
    <row r="11" spans="1:9" x14ac:dyDescent="0.4">
      <c r="A11" s="1" t="s">
        <v>35</v>
      </c>
      <c r="B11">
        <v>1</v>
      </c>
      <c r="C11" s="1" t="s">
        <v>36</v>
      </c>
      <c r="D11" s="1" t="s">
        <v>8</v>
      </c>
      <c r="E11" s="1" t="s">
        <v>37</v>
      </c>
      <c r="F11" s="1" t="s">
        <v>38</v>
      </c>
      <c r="G11" s="1">
        <v>8.31</v>
      </c>
      <c r="H11" s="2" t="s">
        <v>100</v>
      </c>
      <c r="I11" s="1">
        <f>SparrowCompass[[#This Row],[Qty]]*SparrowCompass[[#This Row],[Cost]]</f>
        <v>8.31</v>
      </c>
    </row>
    <row r="12" spans="1:9" x14ac:dyDescent="0.4">
      <c r="A12" s="1" t="s">
        <v>39</v>
      </c>
      <c r="B12">
        <v>1</v>
      </c>
      <c r="C12" s="1" t="s">
        <v>40</v>
      </c>
      <c r="D12" s="1" t="s">
        <v>8</v>
      </c>
      <c r="E12" s="1" t="s">
        <v>41</v>
      </c>
      <c r="F12" s="1" t="s">
        <v>42</v>
      </c>
      <c r="G12" s="1">
        <v>0.98</v>
      </c>
      <c r="H12" s="2" t="s">
        <v>101</v>
      </c>
      <c r="I12" s="1">
        <f>SparrowCompass[[#This Row],[Qty]]*SparrowCompass[[#This Row],[Cost]]</f>
        <v>0.98</v>
      </c>
    </row>
    <row r="13" spans="1:9" x14ac:dyDescent="0.4">
      <c r="A13" s="1" t="s">
        <v>43</v>
      </c>
      <c r="B13">
        <v>1</v>
      </c>
      <c r="C13" s="1" t="s">
        <v>44</v>
      </c>
      <c r="D13" s="1" t="s">
        <v>8</v>
      </c>
      <c r="E13" s="1" t="s">
        <v>45</v>
      </c>
      <c r="F13" s="1" t="s">
        <v>10</v>
      </c>
      <c r="G13" s="1">
        <v>1.25</v>
      </c>
      <c r="H13" s="2" t="s">
        <v>102</v>
      </c>
      <c r="I13" s="1">
        <f>SparrowCompass[[#This Row],[Qty]]*SparrowCompass[[#This Row],[Cost]]</f>
        <v>1.25</v>
      </c>
    </row>
    <row r="14" spans="1:9" x14ac:dyDescent="0.4">
      <c r="A14" s="1" t="s">
        <v>46</v>
      </c>
      <c r="B14">
        <v>1</v>
      </c>
      <c r="C14" s="1" t="s">
        <v>47</v>
      </c>
      <c r="D14" s="1" t="s">
        <v>8</v>
      </c>
      <c r="E14" s="1" t="s">
        <v>48</v>
      </c>
      <c r="F14" s="1" t="s">
        <v>8</v>
      </c>
      <c r="G14" s="1">
        <v>0.67</v>
      </c>
      <c r="H14" s="2" t="s">
        <v>104</v>
      </c>
      <c r="I14" s="1">
        <f>SparrowCompass[[#This Row],[Qty]]*SparrowCompass[[#This Row],[Cost]]</f>
        <v>0.67</v>
      </c>
    </row>
    <row r="15" spans="1:9" x14ac:dyDescent="0.4">
      <c r="A15" s="1" t="s">
        <v>49</v>
      </c>
      <c r="B15">
        <v>1</v>
      </c>
      <c r="C15" s="1" t="s">
        <v>50</v>
      </c>
      <c r="D15" s="1" t="s">
        <v>8</v>
      </c>
      <c r="E15" s="1" t="s">
        <v>51</v>
      </c>
      <c r="F15" s="1" t="s">
        <v>10</v>
      </c>
      <c r="G15" s="1">
        <v>3.06</v>
      </c>
      <c r="H15" s="2" t="s">
        <v>103</v>
      </c>
      <c r="I15" s="1">
        <f>SparrowCompass[[#This Row],[Qty]]*SparrowCompass[[#This Row],[Cost]]</f>
        <v>3.06</v>
      </c>
    </row>
    <row r="16" spans="1:9" x14ac:dyDescent="0.4">
      <c r="A16" s="1" t="s">
        <v>52</v>
      </c>
      <c r="B16">
        <v>2</v>
      </c>
      <c r="C16" s="1" t="s">
        <v>53</v>
      </c>
      <c r="D16" s="1" t="s">
        <v>8</v>
      </c>
      <c r="E16" s="1" t="s">
        <v>54</v>
      </c>
      <c r="F16" s="1" t="s">
        <v>55</v>
      </c>
      <c r="G16" s="1">
        <v>0.46</v>
      </c>
      <c r="H16" s="2" t="s">
        <v>105</v>
      </c>
      <c r="I16" s="1">
        <f>SparrowCompass[[#This Row],[Qty]]*SparrowCompass[[#This Row],[Cost]]</f>
        <v>0.92</v>
      </c>
    </row>
    <row r="17" spans="1:9" x14ac:dyDescent="0.4">
      <c r="A17" s="1" t="s">
        <v>56</v>
      </c>
      <c r="B17">
        <v>2</v>
      </c>
      <c r="C17" s="1" t="s">
        <v>57</v>
      </c>
      <c r="D17" s="1" t="s">
        <v>8</v>
      </c>
      <c r="E17" s="1" t="s">
        <v>58</v>
      </c>
      <c r="F17" s="1" t="s">
        <v>10</v>
      </c>
      <c r="G17" s="1">
        <v>0.09</v>
      </c>
      <c r="H17" s="1" t="s">
        <v>110</v>
      </c>
      <c r="I17" s="1">
        <f>SparrowCompass[[#This Row],[Qty]]*SparrowCompass[[#This Row],[Cost]]</f>
        <v>0.18</v>
      </c>
    </row>
    <row r="18" spans="1:9" x14ac:dyDescent="0.4">
      <c r="A18" s="1" t="s">
        <v>59</v>
      </c>
      <c r="B18">
        <v>8</v>
      </c>
      <c r="C18" s="1" t="s">
        <v>60</v>
      </c>
      <c r="D18" s="1" t="s">
        <v>8</v>
      </c>
      <c r="E18" s="1" t="s">
        <v>58</v>
      </c>
      <c r="F18" s="1" t="s">
        <v>10</v>
      </c>
      <c r="G18" s="1">
        <v>0.09</v>
      </c>
      <c r="H18" s="1"/>
      <c r="I18" s="1">
        <f>SparrowCompass[[#This Row],[Qty]]*SparrowCompass[[#This Row],[Cost]]</f>
        <v>0.72</v>
      </c>
    </row>
    <row r="19" spans="1:9" x14ac:dyDescent="0.4">
      <c r="A19" s="1" t="s">
        <v>61</v>
      </c>
      <c r="B19">
        <v>1</v>
      </c>
      <c r="C19" s="1" t="s">
        <v>62</v>
      </c>
      <c r="D19" s="1" t="s">
        <v>8</v>
      </c>
      <c r="E19" s="1" t="s">
        <v>58</v>
      </c>
      <c r="F19" s="1" t="s">
        <v>10</v>
      </c>
      <c r="G19" s="1">
        <v>0.09</v>
      </c>
      <c r="H19" s="1"/>
      <c r="I19" s="1">
        <f>SparrowCompass[[#This Row],[Qty]]*SparrowCompass[[#This Row],[Cost]]</f>
        <v>0.09</v>
      </c>
    </row>
    <row r="20" spans="1:9" x14ac:dyDescent="0.4">
      <c r="A20" s="1" t="s">
        <v>63</v>
      </c>
      <c r="B20">
        <v>1</v>
      </c>
      <c r="C20" s="1" t="s">
        <v>64</v>
      </c>
      <c r="D20" s="1" t="s">
        <v>8</v>
      </c>
      <c r="E20" s="1" t="s">
        <v>58</v>
      </c>
      <c r="F20" s="1" t="s">
        <v>10</v>
      </c>
      <c r="G20" s="1">
        <v>0.09</v>
      </c>
      <c r="H20" s="1"/>
      <c r="I20" s="1">
        <f>SparrowCompass[[#This Row],[Qty]]*SparrowCompass[[#This Row],[Cost]]</f>
        <v>0.09</v>
      </c>
    </row>
    <row r="21" spans="1:9" x14ac:dyDescent="0.4">
      <c r="A21" s="1" t="s">
        <v>65</v>
      </c>
      <c r="B21">
        <v>2</v>
      </c>
      <c r="C21" s="1" t="s">
        <v>66</v>
      </c>
      <c r="D21" s="1" t="s">
        <v>8</v>
      </c>
      <c r="E21" s="1" t="s">
        <v>58</v>
      </c>
      <c r="F21" s="1" t="s">
        <v>10</v>
      </c>
      <c r="G21" s="1">
        <v>0.09</v>
      </c>
      <c r="H21" s="1"/>
      <c r="I21" s="1">
        <f>SparrowCompass[[#This Row],[Qty]]*SparrowCompass[[#This Row],[Cost]]</f>
        <v>0.18</v>
      </c>
    </row>
    <row r="22" spans="1:9" x14ac:dyDescent="0.4">
      <c r="A22" s="1" t="s">
        <v>67</v>
      </c>
      <c r="B22">
        <v>1</v>
      </c>
      <c r="C22" s="1" t="s">
        <v>68</v>
      </c>
      <c r="D22" s="1" t="s">
        <v>8</v>
      </c>
      <c r="E22" s="1" t="s">
        <v>58</v>
      </c>
      <c r="F22" s="1" t="s">
        <v>10</v>
      </c>
      <c r="G22" s="1">
        <v>0.09</v>
      </c>
      <c r="H22" s="1"/>
      <c r="I22" s="1">
        <f>SparrowCompass[[#This Row],[Qty]]*SparrowCompass[[#This Row],[Cost]]</f>
        <v>0.09</v>
      </c>
    </row>
    <row r="23" spans="1:9" x14ac:dyDescent="0.4">
      <c r="A23" s="1" t="s">
        <v>69</v>
      </c>
      <c r="B23">
        <v>8</v>
      </c>
      <c r="C23" s="1" t="s">
        <v>70</v>
      </c>
      <c r="D23" s="1" t="s">
        <v>8</v>
      </c>
      <c r="E23" s="1" t="s">
        <v>58</v>
      </c>
      <c r="F23" s="1" t="s">
        <v>10</v>
      </c>
      <c r="G23" s="1">
        <v>0.09</v>
      </c>
      <c r="H23" s="1"/>
      <c r="I23" s="1">
        <f>SparrowCompass[[#This Row],[Qty]]*SparrowCompass[[#This Row],[Cost]]</f>
        <v>0.72</v>
      </c>
    </row>
    <row r="24" spans="1:9" x14ac:dyDescent="0.4">
      <c r="A24" s="1" t="s">
        <v>71</v>
      </c>
      <c r="B24">
        <v>1</v>
      </c>
      <c r="C24" s="1" t="s">
        <v>72</v>
      </c>
      <c r="D24" s="1" t="s">
        <v>8</v>
      </c>
      <c r="E24" s="1" t="s">
        <v>58</v>
      </c>
      <c r="F24" s="1" t="s">
        <v>10</v>
      </c>
      <c r="G24" s="1">
        <v>0.09</v>
      </c>
      <c r="H24" s="1"/>
      <c r="I24" s="1">
        <f>SparrowCompass[[#This Row],[Qty]]*SparrowCompass[[#This Row],[Cost]]</f>
        <v>0.09</v>
      </c>
    </row>
    <row r="25" spans="1:9" x14ac:dyDescent="0.4">
      <c r="A25" s="1" t="s">
        <v>73</v>
      </c>
      <c r="B25">
        <v>1</v>
      </c>
      <c r="C25" s="1" t="s">
        <v>74</v>
      </c>
      <c r="D25" s="1" t="s">
        <v>8</v>
      </c>
      <c r="E25" s="1" t="s">
        <v>75</v>
      </c>
      <c r="F25" s="1" t="s">
        <v>76</v>
      </c>
      <c r="G25" s="1">
        <v>14.03</v>
      </c>
      <c r="H25" s="2" t="s">
        <v>106</v>
      </c>
      <c r="I25" s="1">
        <f>SparrowCompass[[#This Row],[Qty]]*SparrowCompass[[#This Row],[Cost]]</f>
        <v>14.03</v>
      </c>
    </row>
    <row r="26" spans="1:9" x14ac:dyDescent="0.4">
      <c r="A26" s="1" t="s">
        <v>77</v>
      </c>
      <c r="B26">
        <v>1</v>
      </c>
      <c r="C26" s="1" t="s">
        <v>78</v>
      </c>
      <c r="D26" s="1" t="s">
        <v>8</v>
      </c>
      <c r="E26" s="1" t="s">
        <v>79</v>
      </c>
      <c r="F26" s="1" t="s">
        <v>80</v>
      </c>
      <c r="G26" s="1">
        <v>0.48</v>
      </c>
      <c r="H26" s="2" t="s">
        <v>107</v>
      </c>
      <c r="I26" s="1">
        <f>SparrowCompass[[#This Row],[Qty]]*SparrowCompass[[#This Row],[Cost]]</f>
        <v>0.48</v>
      </c>
    </row>
    <row r="27" spans="1:9" x14ac:dyDescent="0.4">
      <c r="A27" s="1" t="s">
        <v>81</v>
      </c>
      <c r="B27">
        <v>1</v>
      </c>
      <c r="C27" s="1" t="s">
        <v>82</v>
      </c>
      <c r="D27" s="1" t="s">
        <v>8</v>
      </c>
      <c r="E27" s="1" t="s">
        <v>83</v>
      </c>
      <c r="F27" s="1" t="s">
        <v>84</v>
      </c>
      <c r="G27" s="1">
        <v>5.23</v>
      </c>
      <c r="H27" s="2" t="s">
        <v>108</v>
      </c>
      <c r="I27" s="1">
        <f>SparrowCompass[[#This Row],[Qty]]*SparrowCompass[[#This Row],[Cost]]</f>
        <v>5.23</v>
      </c>
    </row>
    <row r="28" spans="1:9" x14ac:dyDescent="0.4">
      <c r="A28" s="1" t="s">
        <v>85</v>
      </c>
      <c r="B28">
        <v>1</v>
      </c>
      <c r="C28" s="1" t="s">
        <v>86</v>
      </c>
      <c r="D28" s="1" t="s">
        <v>8</v>
      </c>
      <c r="E28" s="1" t="s">
        <v>87</v>
      </c>
      <c r="F28" s="1" t="s">
        <v>88</v>
      </c>
      <c r="G28" s="1">
        <v>0.215</v>
      </c>
      <c r="H28" s="2" t="s">
        <v>109</v>
      </c>
      <c r="I28" s="1">
        <f>SparrowCompass[[#This Row],[Qty]]*SparrowCompass[[#This Row],[Cost]]</f>
        <v>0.215</v>
      </c>
    </row>
    <row r="29" spans="1:9" x14ac:dyDescent="0.4">
      <c r="A29" s="1"/>
      <c r="C29" s="1" t="s">
        <v>118</v>
      </c>
      <c r="D29" s="1"/>
      <c r="E29" s="1"/>
      <c r="F29" s="1"/>
      <c r="G29" s="1">
        <v>5.67</v>
      </c>
      <c r="H29" s="1" t="s">
        <v>119</v>
      </c>
      <c r="I29">
        <v>5.67</v>
      </c>
    </row>
    <row r="30" spans="1:9" x14ac:dyDescent="0.4">
      <c r="C30" t="s">
        <v>117</v>
      </c>
      <c r="G30">
        <v>3.15</v>
      </c>
      <c r="H30" s="3" t="s">
        <v>116</v>
      </c>
      <c r="I30">
        <v>3.15</v>
      </c>
    </row>
    <row r="31" spans="1:9" x14ac:dyDescent="0.4">
      <c r="C31" t="s">
        <v>114</v>
      </c>
      <c r="G31">
        <v>22.5</v>
      </c>
      <c r="H31" s="3" t="s">
        <v>115</v>
      </c>
      <c r="I31">
        <v>22.5</v>
      </c>
    </row>
    <row r="32" spans="1:9" x14ac:dyDescent="0.4">
      <c r="H32" t="s">
        <v>113</v>
      </c>
      <c r="I32">
        <v>14</v>
      </c>
    </row>
    <row r="34" spans="8:9" x14ac:dyDescent="0.4">
      <c r="H34" t="s">
        <v>112</v>
      </c>
      <c r="I34">
        <f>SUM(I2:I32)</f>
        <v>119.82500000000003</v>
      </c>
    </row>
  </sheetData>
  <hyperlinks>
    <hyperlink ref="H8" r:id="rId1" xr:uid="{61D66082-9290-4DDE-B5A0-B04BD5EEC131}"/>
    <hyperlink ref="H9" r:id="rId2" xr:uid="{ECF786CC-C211-49B3-BED4-05E2187D7E30}"/>
    <hyperlink ref="H10" r:id="rId3" xr:uid="{94179508-D075-4A20-8A03-B3E06705D4C8}"/>
    <hyperlink ref="H11" r:id="rId4" xr:uid="{D0F82FDB-05E5-4CFF-ADC9-78EF230ADD2C}"/>
    <hyperlink ref="H12" r:id="rId5" xr:uid="{17DA4FDB-5AA0-4535-AF74-DF84B933B30B}"/>
    <hyperlink ref="H13" r:id="rId6" xr:uid="{E18A7E49-FEB9-460A-8632-19272ABE13C4}"/>
    <hyperlink ref="H15" r:id="rId7" xr:uid="{2CA44C42-EFC6-4449-AF31-80944190B3C8}"/>
    <hyperlink ref="H14" r:id="rId8" xr:uid="{44B7E0B0-92D2-4A82-9C8A-4955EA53FC66}"/>
    <hyperlink ref="H16" r:id="rId9" xr:uid="{CE5AD0DC-0A61-407C-B37C-BC610F95EDC5}"/>
    <hyperlink ref="H25" r:id="rId10" xr:uid="{91F5C89C-9359-49A2-83D3-0A155A076DAD}"/>
    <hyperlink ref="H26" r:id="rId11" xr:uid="{C60D7F0B-26F2-4BF5-A5B5-B1D8E94DCC64}"/>
    <hyperlink ref="H27" r:id="rId12" xr:uid="{85181558-A210-488E-8193-C25984E8EFE9}"/>
    <hyperlink ref="H28" r:id="rId13" xr:uid="{E53CD6DC-90BB-4FA8-B52C-AD080F35C797}"/>
    <hyperlink ref="H31" r:id="rId14" xr:uid="{40AAD98C-06EA-4B04-A16B-1CFEB7B084C5}"/>
    <hyperlink ref="H30" r:id="rId15" xr:uid="{25C9E4B4-CF84-47FB-A032-1A78D3357EDE}"/>
    <hyperlink ref="H7" r:id="rId16" xr:uid="{008DF6E1-8DD5-4DC6-9848-8E345402442B}"/>
    <hyperlink ref="H6" r:id="rId17" xr:uid="{F3821113-FCEF-42AC-B598-3BE7F8EF5309}"/>
    <hyperlink ref="H5" r:id="rId18" xr:uid="{C1D88697-D7DC-4E47-A7B0-7BD39A64F240}"/>
    <hyperlink ref="H4" r:id="rId19" xr:uid="{3E677B4B-6A2C-41AB-A4C1-BFD7789EC6F4}"/>
    <hyperlink ref="H3" r:id="rId20" xr:uid="{BFA5E099-5296-47DC-A0B9-BFB0D42C2F36}"/>
    <hyperlink ref="H2" r:id="rId21" xr:uid="{45163C96-2AE3-4039-B823-5003BFAFDC1D}"/>
  </hyperlinks>
  <pageMargins left="0.7" right="0.7" top="0.78740157499999996" bottom="0.78740157499999996" header="0.3" footer="0.3"/>
  <tableParts count="1">
    <tablePart r:id="rId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5F7F-84E5-4278-97A2-8B3401A5C715}">
  <dimension ref="A1"/>
  <sheetViews>
    <sheetView workbookViewId="0"/>
  </sheetViews>
  <sheetFormatPr baseColWidth="10" defaultRowHeight="14.6" x14ac:dyDescent="0.4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022A2E-6358-4687-B1CB-A370727482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SparrowCompass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Petzoldt</dc:creator>
  <cp:lastModifiedBy>Manuel Petzoldt</cp:lastModifiedBy>
  <dcterms:created xsi:type="dcterms:W3CDTF">2025-09-23T21:10:39Z</dcterms:created>
  <dcterms:modified xsi:type="dcterms:W3CDTF">2025-09-24T22:12:30Z</dcterms:modified>
</cp:coreProperties>
</file>